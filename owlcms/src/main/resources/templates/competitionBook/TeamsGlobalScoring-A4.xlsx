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Book\"/>
    </mc:Choice>
  </mc:AlternateContent>
  <xr:revisionPtr revIDLastSave="0" documentId="8_{83250258-8CB7-4BA0-8C7A-7DDB9BFEE57D}" xr6:coauthVersionLast="47" xr6:coauthVersionMax="47" xr10:uidLastSave="{00000000-0000-0000-0000-000000000000}"/>
  <bookViews>
    <workbookView xWindow="-120" yWindow="-120" windowWidth="38640" windowHeight="21120" tabRatio="447" activeTab="4" xr2:uid="{00000000-000D-0000-FFFF-FFFF00000000}"/>
  </bookViews>
  <sheets>
    <sheet name="Men" sheetId="33" r:id="rId1"/>
    <sheet name="Men Summary" sheetId="44" r:id="rId2"/>
    <sheet name="Women" sheetId="34" r:id="rId3"/>
    <sheet name="Women Summary" sheetId="45" r:id="rId4"/>
    <sheet name="Mixed" sheetId="46" r:id="rId5"/>
    <sheet name="Mixed Summary" sheetId="47" r:id="rId6"/>
  </sheets>
  <calcPr calcId="191029" iterate="1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6" l="1"/>
  <c r="B5" i="46"/>
  <c r="B5" i="34"/>
  <c r="C5" i="34"/>
  <c r="B5" i="33"/>
  <c r="C5" i="33"/>
</calcChain>
</file>

<file path=xl/sharedStrings.xml><?xml version="1.0" encoding="utf-8"?>
<sst xmlns="http://schemas.openxmlformats.org/spreadsheetml/2006/main" count="123" uniqueCount="43">
  <si>
    <t>${l.lastName}</t>
  </si>
  <si>
    <t>${l.firstName}</t>
  </si>
  <si>
    <t>${l.bodyWeight}</t>
  </si>
  <si>
    <t>${l.club}</t>
  </si>
  <si>
    <t>&lt;/jx:forEach&gt;</t>
  </si>
  <si>
    <t>${l.snatchRank}</t>
  </si>
  <si>
    <t>${l.cleanJerkRank}</t>
  </si>
  <si>
    <t>Snatch Rank</t>
  </si>
  <si>
    <t>${nbClubs}</t>
  </si>
  <si>
    <t>${l.club}_${l.gender}</t>
  </si>
  <si>
    <t>${l.gender}</t>
  </si>
  <si>
    <t>C&amp;J Rank</t>
  </si>
  <si>
    <t>${nbMen}</t>
  </si>
  <si>
    <t>${nbWomen}</t>
  </si>
  <si>
    <t>${t.get("FirstName")}</t>
  </si>
  <si>
    <t>${t.get("LastName")}</t>
  </si>
  <si>
    <t>${t.get("Results.MenPerTeam")}</t>
  </si>
  <si>
    <t>${t.get("Results.Teams")}</t>
  </si>
  <si>
    <t>${t.get("Results.Athletes")}</t>
  </si>
  <si>
    <t>${t.get("Gender")}</t>
  </si>
  <si>
    <t>${t.get("Results.WomenPerTeam")}</t>
  </si>
  <si>
    <t>${t.get("Results.BodyWeight")}</t>
  </si>
  <si>
    <t>${t.get("Results.Team")}</t>
  </si>
  <si>
    <t>${t.get("Results.Rank")}</t>
  </si>
  <si>
    <t>${t.get("Results.TeamRank")}</t>
  </si>
  <si>
    <t>${t.get("Results.PointsScored")}</t>
  </si>
  <si>
    <t>${bestRankingTitle}</t>
  </si>
  <si>
    <t>${l.bestLifterScore}</t>
  </si>
  <si>
    <t>&lt;jx:forEach items="${mTeamBest}" var="l" varStatus="lifterLoop"&gt;</t>
  </si>
  <si>
    <t>${l.bestLifterRank}</t>
  </si>
  <si>
    <t>$[ROW(K3)-(ROW(F1)+MATCH(F3,OFFSET(F1,1,0,C6,1),0))+1]</t>
  </si>
  <si>
    <t>TeamWithSuffix</t>
  </si>
  <si>
    <t>$[if(D3="M",if(C17&lt;&gt;"",if(L3&lt;=C17,K3,0),if(L3&gt;0,K3,0)),if(C18&lt;&gt;"",if(L3&lt;=C18,K3,0),if(L3&gt;0,K3,0)))]</t>
  </si>
  <si>
    <t>$[concatenate(A3," ",CHAR(quotient(L3-1,C8)+1+64))]</t>
  </si>
  <si>
    <t>$[concatenate(A3," ",CHAR(quotient(L3-1,C9)+1+64))]</t>
  </si>
  <si>
    <t>Row Labels</t>
  </si>
  <si>
    <t>(blank)</t>
  </si>
  <si>
    <t>Grand Total</t>
  </si>
  <si>
    <t>Sum of ${t.get("Results.PointsScored")}</t>
  </si>
  <si>
    <t>&lt;jx:forEach items="${wTeamBest}" var="l" varStatus="lifterLoop"&gt;</t>
  </si>
  <si>
    <t>${competition.menBestNElseDefault}</t>
  </si>
  <si>
    <t>${competition.womenBestNElseDefault}</t>
  </si>
  <si>
    <t>&lt;jx:forEach items="${mwTeamBest}" var="l" varStatus="lifterLoop"&gt;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</si>
</sst>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"/>
    <numFmt numFmtId="165" formatCode="0;&quot;&quot;"/>
    <numFmt numFmtId="166" formatCode="0;&quot;&quot;;\-"/>
  </numFmts>
  <fonts count="7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0" borderId="1" xfId="0" applyNumberFormat="1" applyBorder="1" applyAlignment="1">
      <alignment wrapText="1"/>
    </xf>
    <xf numFmtId="0" fontId="0" fillId="0" borderId="2" xfId="0" applyBorder="1"/>
    <xf numFmtId="165" fontId="0" fillId="0" borderId="2" xfId="0" applyNumberFormat="1" applyBorder="1"/>
    <xf numFmtId="166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wrapText="1"/>
    </xf>
    <xf numFmtId="0" fontId="0" fillId="0" borderId="1" xfId="0" applyBorder="1" applyAlignment="1">
      <alignment wrapText="1"/>
    </xf>
    <xf numFmtId="166" fontId="0" fillId="0" borderId="6" xfId="0" applyNumberFormat="1" applyBorder="1" applyAlignment="1">
      <alignment horizontal="center"/>
    </xf>
    <xf numFmtId="0" fontId="0" fillId="0" borderId="7" xfId="0" applyBorder="1" applyAlignment="1">
      <alignment wrapText="1"/>
    </xf>
    <xf numFmtId="164" fontId="0" fillId="0" borderId="5" xfId="0" applyNumberFormat="1" applyBorder="1" applyAlignment="1">
      <alignment horizontal="center" vertical="center" wrapText="1"/>
    </xf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1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de la feuille" xfId="10" xr:uid="{00000000-0005-0000-0000-00000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-François Lamy" refreshedDate="45781.74989525463" createdVersion="8" refreshedVersion="8" minRefreshableVersion="3" recordCount="8" xr:uid="{AE52AADC-027E-46DB-AB1B-CA969DB382F6}">
  <cacheSource type="worksheet">
    <worksheetSource ref="M1:N1048576" sheet="Men"/>
  </cacheSource>
  <cacheFields count="2">
    <cacheField name="${t.get(&quot;Results.PointsScored&quot;)}" numFmtId="0">
      <sharedItems containsBlank="1"/>
    </cacheField>
    <cacheField name="TeamWithSuffix" numFmtId="0">
      <sharedItems containsBlank="1" count="2">
        <m/>
        <s v="$[concatenate(A3,&quot; &quot;,CHAR(quotient(L3-1,C8)+1+64))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-François Lamy" refreshedDate="45781.75348900463" createdVersion="8" refreshedVersion="8" minRefreshableVersion="3" recordCount="9" xr:uid="{1ACD3D99-8DE1-45FC-B01A-43090277884E}">
  <cacheSource type="worksheet">
    <worksheetSource ref="M1:N1048576" sheet="Women"/>
  </cacheSource>
  <cacheFields count="2">
    <cacheField name="${t.get(&quot;Results.PointsScored&quot;)}" numFmtId="0">
      <sharedItems containsBlank="1"/>
    </cacheField>
    <cacheField name="TeamWithSuffix" numFmtId="0">
      <sharedItems containsBlank="1" count="2">
        <m/>
        <s v="$[concatenate(A3,&quot; &quot;,CHAR(quotient(L3-1,C9)+1+64))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m/>
    <x v="0"/>
  </r>
  <r>
    <s v="$[if(D3=&quot;M&quot;,if(C17&lt;&gt;&quot;&quot;,if(L3&lt;=C17,K3,0),if(L3&gt;0,K3,0)),if(C18&lt;&gt;&quot;&quot;,if(L3&lt;=C18,K3,0),if(L3&gt;0,K3,0)))]"/>
    <x v="1"/>
  </r>
  <r>
    <m/>
    <x v="0"/>
  </r>
  <r>
    <m/>
    <x v="0"/>
  </r>
  <r>
    <m/>
    <x v="0"/>
  </r>
  <r>
    <m/>
    <x v="0"/>
  </r>
  <r>
    <m/>
    <x v="0"/>
  </r>
  <r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m/>
    <x v="0"/>
  </r>
  <r>
    <s v="$[if(D3=&quot;M&quot;,if(C17&lt;&gt;&quot;&quot;,if(L3&lt;=C17,K3,0),if(L3&gt;0,K3,0)),if(C18&lt;&gt;&quot;&quot;,if(L3&lt;=C18,K3,0),if(L3&gt;0,K3,0)))]"/>
    <x v="1"/>
  </r>
  <r>
    <m/>
    <x v="0"/>
  </r>
  <r>
    <m/>
    <x v="0"/>
  </r>
  <r>
    <m/>
    <x v="0"/>
  </r>
  <r>
    <m/>
    <x v="0"/>
  </r>
  <r>
    <m/>
    <x v="0"/>
  </r>
  <r>
    <m/>
    <x v="0"/>
  </r>
  <r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290F7-FE12-4168-9B39-E888C08644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B4" firstHeaderRow="1" firstDataRow="1" firstDataCol="1"/>
  <pivotFields count="2">
    <pivotField dataField="1" showAll="0"/>
    <pivotField axis="axisRow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${t.get(&quot;Results.PointsScored&quot;)}" fld="0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45426-5B0A-4FA4-8970-717B67B9CE2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6" firstHeaderRow="1" firstDataRow="1" firstDataCol="1"/>
  <pivotFields count="2">
    <pivotField dataField="1" showAll="0"/>
    <pivotField axis="axisRow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${t.get(&quot;Results.PointsScored&quot;)}" fld="0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C724B-5A3F-4AED-A19C-93B794FCFEA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6" firstHeaderRow="1" firstDataRow="1" firstDataCol="1"/>
  <pivotFields count="2">
    <pivotField dataField="1" showAll="0"/>
    <pivotField axis="axisRow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${t.get(&quot;Results.PointsScored&quot;)}" fld="0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8"/>
  <sheetViews>
    <sheetView zoomScale="115" zoomScaleNormal="115" workbookViewId="0">
      <selection activeCell="A6" sqref="A6:C6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3" width="11.42578125" style="1" customWidth="1"/>
    <col min="14" max="14" width="44.140625" style="1" customWidth="1"/>
    <col min="15" max="17" width="11.42578125" style="1" customWidth="1"/>
    <col min="18" max="18" width="3.5703125" customWidth="1"/>
  </cols>
  <sheetData>
    <row r="1" spans="1:17" ht="39.75" customHeight="1" thickBot="1" x14ac:dyDescent="0.25">
      <c r="A1" s="14" t="s">
        <v>22</v>
      </c>
      <c r="B1" s="12" t="s">
        <v>15</v>
      </c>
      <c r="C1" s="12" t="s">
        <v>14</v>
      </c>
      <c r="D1" s="12" t="s">
        <v>19</v>
      </c>
      <c r="E1" s="12" t="s">
        <v>21</v>
      </c>
      <c r="F1" s="12" t="s">
        <v>22</v>
      </c>
      <c r="G1" s="3" t="s">
        <v>26</v>
      </c>
      <c r="H1" s="3" t="s">
        <v>7</v>
      </c>
      <c r="I1" s="3" t="s">
        <v>11</v>
      </c>
      <c r="J1" s="3" t="s">
        <v>23</v>
      </c>
      <c r="K1" s="3" t="s">
        <v>26</v>
      </c>
      <c r="L1" s="3" t="s">
        <v>24</v>
      </c>
      <c r="M1" s="11" t="s">
        <v>25</v>
      </c>
      <c r="N1" s="15" t="s">
        <v>31</v>
      </c>
    </row>
    <row r="2" spans="1:17" x14ac:dyDescent="0.2">
      <c r="A2" t="s">
        <v>28</v>
      </c>
      <c r="M2"/>
      <c r="N2"/>
      <c r="O2"/>
      <c r="P2"/>
      <c r="Q2"/>
    </row>
    <row r="3" spans="1:17" x14ac:dyDescent="0.2">
      <c r="A3" s="9" t="s">
        <v>3</v>
      </c>
      <c r="B3" s="8" t="s">
        <v>1</v>
      </c>
      <c r="C3" s="8" t="s">
        <v>0</v>
      </c>
      <c r="D3" s="7" t="s">
        <v>10</v>
      </c>
      <c r="E3" s="10" t="s">
        <v>2</v>
      </c>
      <c r="F3" s="7" t="s">
        <v>9</v>
      </c>
      <c r="G3" s="6" t="s">
        <v>27</v>
      </c>
      <c r="H3" s="6" t="s">
        <v>5</v>
      </c>
      <c r="I3" s="6" t="s">
        <v>6</v>
      </c>
      <c r="J3" s="6" t="s">
        <v>29</v>
      </c>
      <c r="K3" s="6" t="s">
        <v>27</v>
      </c>
      <c r="L3" s="6" t="s">
        <v>30</v>
      </c>
      <c r="M3" s="13" t="s">
        <v>32</v>
      </c>
      <c r="N3" s="13" t="s">
        <v>33</v>
      </c>
    </row>
    <row r="4" spans="1:17" ht="13.5" thickBot="1" x14ac:dyDescent="0.25">
      <c r="A4" t="s">
        <v>4</v>
      </c>
      <c r="M4"/>
      <c r="N4"/>
    </row>
    <row r="5" spans="1:17" x14ac:dyDescent="0.2">
      <c r="A5" s="4"/>
      <c r="B5" s="5" t="str">
        <f ca="1">IF(A5&gt;0,SUMIF(OFFSET($A$3,0,0,$C$6,1),A5,OFFSET($A$3,0,9,$C$6,1)),"")</f>
        <v/>
      </c>
      <c r="C5" s="4" t="str">
        <f ca="1">IF(A5&gt;0,RANK(B5,OFFSET(#REF!,0,0,#REF!,2)),"")</f>
        <v/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7" x14ac:dyDescent="0.2">
      <c r="A6" t="s">
        <v>18</v>
      </c>
      <c r="C6" t="s">
        <v>12</v>
      </c>
    </row>
    <row r="7" spans="1:17" x14ac:dyDescent="0.2">
      <c r="A7" s="1" t="s">
        <v>17</v>
      </c>
      <c r="B7" s="2"/>
      <c r="C7" t="s">
        <v>8</v>
      </c>
    </row>
    <row r="8" spans="1:17" x14ac:dyDescent="0.2">
      <c r="A8" t="s">
        <v>16</v>
      </c>
      <c r="C8" s="16" t="s">
        <v>40</v>
      </c>
    </row>
  </sheetData>
  <sheetProtection selectLockedCells="1" selectUnlockedCells="1"/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98CE-C685-4E96-BEED-4CDC9B722F1D}">
  <dimension ref="A1:B4"/>
  <sheetViews>
    <sheetView workbookViewId="0"/>
  </sheetViews>
  <sheetFormatPr defaultRowHeight="12.75" x14ac:dyDescent="0.2"/>
  <cols>
    <col min="1" max="1" width="46.85546875" bestFit="1" customWidth="1"/>
    <col min="2" max="2" width="37.140625" bestFit="1" customWidth="1"/>
  </cols>
  <sheetData>
    <row r="1" spans="1:2" x14ac:dyDescent="0.2">
      <c r="A1" s="17" t="s">
        <v>35</v>
      </c>
      <c r="B1" t="s">
        <v>38</v>
      </c>
    </row>
    <row r="2" spans="1:2" x14ac:dyDescent="0.2">
      <c r="A2" s="18" t="s">
        <v>33</v>
      </c>
      <c r="B2" s="19">
        <v>0</v>
      </c>
    </row>
    <row r="3" spans="1:2" x14ac:dyDescent="0.2">
      <c r="A3" s="18" t="s">
        <v>36</v>
      </c>
      <c r="B3" s="19"/>
    </row>
    <row r="4" spans="1:2" x14ac:dyDescent="0.2">
      <c r="A4" s="18" t="s">
        <v>37</v>
      </c>
      <c r="B4" s="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9"/>
  <sheetViews>
    <sheetView zoomScale="115" zoomScaleNormal="115" workbookViewId="0">
      <selection activeCell="A2" sqref="A2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3" width="11.42578125" style="1" customWidth="1"/>
    <col min="14" max="14" width="44.140625" style="1" customWidth="1"/>
    <col min="15" max="19" width="11.42578125" style="1" customWidth="1"/>
    <col min="20" max="20" width="3.5703125" customWidth="1"/>
  </cols>
  <sheetData>
    <row r="1" spans="1:19" ht="39.75" customHeight="1" thickBot="1" x14ac:dyDescent="0.25">
      <c r="A1" s="14" t="s">
        <v>22</v>
      </c>
      <c r="B1" s="12" t="s">
        <v>15</v>
      </c>
      <c r="C1" s="12" t="s">
        <v>14</v>
      </c>
      <c r="D1" s="12" t="s">
        <v>19</v>
      </c>
      <c r="E1" s="12" t="s">
        <v>21</v>
      </c>
      <c r="F1" s="12" t="s">
        <v>22</v>
      </c>
      <c r="G1" s="3" t="s">
        <v>26</v>
      </c>
      <c r="H1" s="3" t="s">
        <v>7</v>
      </c>
      <c r="I1" s="3" t="s">
        <v>11</v>
      </c>
      <c r="J1" s="3" t="s">
        <v>23</v>
      </c>
      <c r="K1" s="3" t="s">
        <v>26</v>
      </c>
      <c r="L1" s="3" t="s">
        <v>24</v>
      </c>
      <c r="M1" s="11" t="s">
        <v>25</v>
      </c>
      <c r="N1" s="15" t="s">
        <v>31</v>
      </c>
      <c r="R1"/>
      <c r="S1"/>
    </row>
    <row r="2" spans="1:19" x14ac:dyDescent="0.2">
      <c r="A2" t="s">
        <v>39</v>
      </c>
      <c r="M2"/>
      <c r="N2"/>
      <c r="O2"/>
      <c r="P2"/>
      <c r="Q2"/>
      <c r="R2"/>
      <c r="S2"/>
    </row>
    <row r="3" spans="1:19" x14ac:dyDescent="0.2">
      <c r="A3" s="9" t="s">
        <v>3</v>
      </c>
      <c r="B3" s="8" t="s">
        <v>1</v>
      </c>
      <c r="C3" s="8" t="s">
        <v>0</v>
      </c>
      <c r="D3" s="7" t="s">
        <v>10</v>
      </c>
      <c r="E3" s="10" t="s">
        <v>2</v>
      </c>
      <c r="F3" s="7" t="s">
        <v>9</v>
      </c>
      <c r="G3" s="6" t="s">
        <v>27</v>
      </c>
      <c r="H3" s="6" t="s">
        <v>5</v>
      </c>
      <c r="I3" s="6" t="s">
        <v>6</v>
      </c>
      <c r="J3" s="6" t="s">
        <v>29</v>
      </c>
      <c r="K3" s="6" t="s">
        <v>27</v>
      </c>
      <c r="L3" s="6" t="s">
        <v>30</v>
      </c>
      <c r="M3" s="13" t="s">
        <v>32</v>
      </c>
      <c r="N3" s="13" t="s">
        <v>34</v>
      </c>
      <c r="R3"/>
      <c r="S3"/>
    </row>
    <row r="4" spans="1:19" ht="13.5" thickBot="1" x14ac:dyDescent="0.25">
      <c r="A4" t="s">
        <v>4</v>
      </c>
      <c r="M4"/>
      <c r="N4"/>
      <c r="R4"/>
      <c r="S4"/>
    </row>
    <row r="5" spans="1:19" x14ac:dyDescent="0.2">
      <c r="A5" s="4"/>
      <c r="B5" s="5" t="str">
        <f ca="1">IF(A5&gt;0,SUMIF(OFFSET($A$3,0,0,$C$6,1),A5,OFFSET($A$3,0,9,$C$6,1)),"")</f>
        <v/>
      </c>
      <c r="C5" s="4" t="str">
        <f ca="1">IF(A5&gt;0,RANK(B5,OFFSET(#REF!,0,0,#REF!,2)),"")</f>
        <v/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9" x14ac:dyDescent="0.2">
      <c r="A6" t="s">
        <v>18</v>
      </c>
      <c r="C6" t="s">
        <v>13</v>
      </c>
    </row>
    <row r="7" spans="1:19" x14ac:dyDescent="0.2">
      <c r="A7" s="1" t="s">
        <v>17</v>
      </c>
      <c r="B7" s="2"/>
      <c r="C7" t="s">
        <v>8</v>
      </c>
    </row>
    <row r="9" spans="1:19" x14ac:dyDescent="0.2">
      <c r="A9" t="s">
        <v>20</v>
      </c>
      <c r="C9" s="16" t="s">
        <v>41</v>
      </c>
    </row>
  </sheetData>
  <sheetProtection selectLockedCells="1" selectUnlockedCells="1"/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DBCC-02EC-4D32-AF1E-65996330FA55}">
  <dimension ref="A3:B6"/>
  <sheetViews>
    <sheetView workbookViewId="0">
      <selection activeCell="A3" sqref="A3"/>
    </sheetView>
  </sheetViews>
  <sheetFormatPr defaultRowHeight="12.75" x14ac:dyDescent="0.2"/>
  <cols>
    <col min="1" max="1" width="46.85546875" bestFit="1" customWidth="1"/>
    <col min="2" max="2" width="37.140625" bestFit="1" customWidth="1"/>
  </cols>
  <sheetData>
    <row r="3" spans="1:2" x14ac:dyDescent="0.2">
      <c r="A3" s="17" t="s">
        <v>35</v>
      </c>
      <c r="B3" t="s">
        <v>38</v>
      </c>
    </row>
    <row r="4" spans="1:2" x14ac:dyDescent="0.2">
      <c r="A4" s="18" t="s">
        <v>34</v>
      </c>
      <c r="B4" s="19">
        <v>0</v>
      </c>
    </row>
    <row r="5" spans="1:2" x14ac:dyDescent="0.2">
      <c r="A5" s="18" t="s">
        <v>36</v>
      </c>
      <c r="B5" s="19"/>
    </row>
    <row r="6" spans="1:2" x14ac:dyDescent="0.2">
      <c r="A6" s="18" t="s">
        <v>37</v>
      </c>
      <c r="B6" s="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A30E-30CE-4620-9A30-11969EFEE9A6}">
  <sheetPr>
    <pageSetUpPr fitToPage="1"/>
  </sheetPr>
  <dimension ref="A1:S9"/>
  <sheetViews>
    <sheetView tabSelected="1" zoomScale="115" zoomScaleNormal="115" workbookViewId="0"/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3" width="11.42578125" style="1" customWidth="1"/>
    <col min="14" max="14" width="44.140625" style="1" customWidth="1"/>
    <col min="15" max="19" width="11.42578125" style="1" customWidth="1"/>
    <col min="20" max="20" width="3.5703125" customWidth="1"/>
  </cols>
  <sheetData>
    <row r="1" spans="1:19" ht="39.75" customHeight="1" thickBot="1" x14ac:dyDescent="0.25">
      <c r="A1" s="14" t="s">
        <v>22</v>
      </c>
      <c r="B1" s="12" t="s">
        <v>15</v>
      </c>
      <c r="C1" s="12" t="s">
        <v>14</v>
      </c>
      <c r="D1" s="12" t="s">
        <v>19</v>
      </c>
      <c r="E1" s="12" t="s">
        <v>21</v>
      </c>
      <c r="F1" s="12" t="s">
        <v>22</v>
      </c>
      <c r="G1" s="3" t="s">
        <v>26</v>
      </c>
      <c r="H1" s="3" t="s">
        <v>7</v>
      </c>
      <c r="I1" s="3" t="s">
        <v>11</v>
      </c>
      <c r="J1" s="3" t="s">
        <v>23</v>
      </c>
      <c r="K1" s="3" t="s">
        <v>26</v>
      </c>
      <c r="L1" s="3" t="s">
        <v>24</v>
      </c>
      <c r="M1" s="11" t="s">
        <v>25</v>
      </c>
      <c r="N1" s="15" t="s">
        <v>31</v>
      </c>
      <c r="R1"/>
      <c r="S1"/>
    </row>
    <row r="2" spans="1:19" x14ac:dyDescent="0.2">
      <c r="A2" t="s">
        <v>42</v>
      </c>
      <c r="M2"/>
      <c r="N2"/>
      <c r="O2"/>
      <c r="P2"/>
      <c r="Q2"/>
      <c r="R2"/>
      <c r="S2"/>
    </row>
    <row r="3" spans="1:19" x14ac:dyDescent="0.2">
      <c r="A3" s="9" t="s">
        <v>3</v>
      </c>
      <c r="B3" s="8" t="s">
        <v>1</v>
      </c>
      <c r="C3" s="8" t="s">
        <v>0</v>
      </c>
      <c r="D3" s="7" t="s">
        <v>10</v>
      </c>
      <c r="E3" s="10" t="s">
        <v>2</v>
      </c>
      <c r="F3" s="7" t="s">
        <v>9</v>
      </c>
      <c r="G3" s="6" t="s">
        <v>27</v>
      </c>
      <c r="H3" s="6" t="s">
        <v>5</v>
      </c>
      <c r="I3" s="6" t="s">
        <v>6</v>
      </c>
      <c r="J3" s="6" t="s">
        <v>29</v>
      </c>
      <c r="K3" s="6" t="s">
        <v>27</v>
      </c>
      <c r="L3" s="6" t="s">
        <v>30</v>
      </c>
      <c r="M3" s="13" t="s">
        <v>32</v>
      </c>
      <c r="N3" s="13" t="s">
        <v>34</v>
      </c>
      <c r="R3"/>
      <c r="S3"/>
    </row>
    <row r="4" spans="1:19" ht="13.5" thickBot="1" x14ac:dyDescent="0.25">
      <c r="A4" t="s">
        <v>4</v>
      </c>
      <c r="M4"/>
      <c r="N4"/>
      <c r="R4"/>
      <c r="S4"/>
    </row>
    <row r="5" spans="1:19" x14ac:dyDescent="0.2">
      <c r="A5" s="4"/>
      <c r="B5" s="5" t="str">
        <f ca="1">IF(A5&gt;0,SUMIF(OFFSET($A$3,0,0,$C$6,1),A5,OFFSET($A$3,0,9,$C$6,1)),"")</f>
        <v/>
      </c>
      <c r="C5" s="4" t="str">
        <f ca="1">IF(A5&gt;0,RANK(B5,OFFSET(#REF!,0,0,#REF!,2)),"")</f>
        <v/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9" x14ac:dyDescent="0.2">
      <c r="A6" t="s">
        <v>18</v>
      </c>
      <c r="C6" t="s">
        <v>13</v>
      </c>
    </row>
    <row r="7" spans="1:19" x14ac:dyDescent="0.2">
      <c r="A7" s="1" t="s">
        <v>17</v>
      </c>
      <c r="B7" s="2"/>
      <c r="C7" t="s">
        <v>8</v>
      </c>
    </row>
    <row r="9" spans="1:19" x14ac:dyDescent="0.2">
      <c r="A9" t="s">
        <v>20</v>
      </c>
      <c r="C9" s="16" t="s">
        <v>41</v>
      </c>
    </row>
  </sheetData>
  <sheetProtection selectLockedCells="1" selectUnlockedCells="1"/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E0B6-555F-4CA2-A4C4-5B7087C35C48}">
  <dimension ref="A3:B6"/>
  <sheetViews>
    <sheetView workbookViewId="0">
      <selection activeCell="E30" sqref="E30"/>
    </sheetView>
  </sheetViews>
  <sheetFormatPr defaultRowHeight="12.75" x14ac:dyDescent="0.2"/>
  <cols>
    <col min="1" max="1" width="46.85546875" bestFit="1" customWidth="1"/>
    <col min="2" max="2" width="37.140625" bestFit="1" customWidth="1"/>
  </cols>
  <sheetData>
    <row r="3" spans="1:2" x14ac:dyDescent="0.2">
      <c r="A3" t="s">
        <v>35</v>
      </c>
      <c r="B3" t="s">
        <v>38</v>
      </c>
    </row>
    <row r="4" spans="1:2" x14ac:dyDescent="0.2">
      <c r="A4" s="18" t="s">
        <v>34</v>
      </c>
      <c r="B4" s="19">
        <v>0</v>
      </c>
    </row>
    <row r="5" spans="1:2" x14ac:dyDescent="0.2">
      <c r="A5" s="18" t="s">
        <v>36</v>
      </c>
      <c r="B5" s="19"/>
    </row>
    <row r="6" spans="1:2" x14ac:dyDescent="0.2">
      <c r="A6" s="18" t="s">
        <v>37</v>
      </c>
      <c r="B6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</vt:lpstr>
      <vt:lpstr>Men Summary</vt:lpstr>
      <vt:lpstr>Women</vt:lpstr>
      <vt:lpstr>Women Summary</vt:lpstr>
      <vt:lpstr>Mixed</vt:lpstr>
      <vt:lpstr>Mixed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owlcms</dc:creator>
  <cp:lastModifiedBy>Jean-François Lamy</cp:lastModifiedBy>
  <cp:lastPrinted>2021-10-16T16:07:39Z</cp:lastPrinted>
  <dcterms:created xsi:type="dcterms:W3CDTF">2012-07-07T14:58:52Z</dcterms:created>
  <dcterms:modified xsi:type="dcterms:W3CDTF">2026-02-15T17:40:15Z</dcterms:modified>
</cp:coreProperties>
</file>