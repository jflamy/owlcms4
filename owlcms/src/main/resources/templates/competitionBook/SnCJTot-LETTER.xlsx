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80BADBD7-44D0-4EB5-9A1A-8D804D62C1A5}" xr6:coauthVersionLast="47" xr6:coauthVersionMax="47" xr10:uidLastSave="{00000000-0000-0000-0000-000000000000}"/>
  <bookViews>
    <workbookView xWindow="3510" yWindow="3510" windowWidth="21600" windowHeight="12105" tabRatio="519" activeTab="3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CT" sheetId="15" r:id="rId6"/>
    <sheet name="WCT" sheetId="14" r:id="rId7"/>
    <sheet name="MWCT" sheetId="13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5" l="1"/>
  <c r="B14" i="15"/>
  <c r="C14" i="14"/>
  <c r="B14" i="14"/>
  <c r="B14" i="13"/>
  <c r="C14" i="13"/>
</calcChain>
</file>

<file path=xl/sharedStrings.xml><?xml version="1.0" encoding="utf-8"?>
<sst xmlns="http://schemas.openxmlformats.org/spreadsheetml/2006/main" count="404" uniqueCount="161">
  <si>
    <t>${l.lastName}</t>
  </si>
  <si>
    <t>${l.firstName}</t>
  </si>
  <si>
    <t>${l.bodyWeight}</t>
  </si>
  <si>
    <t>${l.club}</t>
  </si>
  <si>
    <t>${l.total}</t>
  </si>
  <si>
    <t>&lt;/jx:forEach&gt;</t>
  </si>
  <si>
    <t>${nbClubs}</t>
  </si>
  <si>
    <t>${l.club}_${l.gender}</t>
  </si>
  <si>
    <t>${l.gender}</t>
  </si>
  <si>
    <t>&lt;jx:forEach items="${mwCombined}" var="l" varStatus="lifterLoop"&gt;</t>
  </si>
  <si>
    <t>${c}</t>
  </si>
  <si>
    <t>&lt;jx:forEach items="${clubs}" var="c" varStatus="clubLoop"&gt;</t>
  </si>
  <si>
    <t>&lt;jx:forEach items="${mCombined}" var="l" varStatus="lifterLoop"&gt;</t>
  </si>
  <si>
    <t>&lt;jx:forEach items="${wCombined}"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</si>
  <si>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</si>
  <si>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</si>
  <si>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</si>
  <si>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</si>
  <si>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</si>
  <si>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</si>
  <si>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</si>
  <si>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$[countif(F10:F14,concatenate(A5,"_M"))]</t>
  </si>
  <si>
    <t>$[countif(F10:F14,concatenate(A5,"_F"))]</t>
  </si>
  <si>
    <t>$[if(d5&gt;0,sumif(A10:A14,A5,M10:M14),0)]</t>
  </si>
  <si>
    <t>$[if(d5&gt;0,sumif(A10:A14,A5,M10:M14))]</t>
  </si>
  <si>
    <t>$[if((d5+e5)&gt;0,sumif(A10:A14,A5,M10:M14),0)]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</si>
  <si>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</si>
  <si>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</si>
  <si>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</si>
  <si>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</si>
  <si>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</si>
  <si>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</si>
  <si>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</si>
  <si>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</si>
  <si>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</si>
  <si>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</si>
  <si>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</si>
  <si>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</si>
  <si>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</si>
  <si>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</si>
  <si>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</si>
  <si>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</si>
  <si>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</si>
  <si>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</si>
  <si>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</si>
  <si>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</si>
  <si>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</si>
  <si>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</si>
  <si>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</si>
  <si>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${t.get("Gender.F")}</t>
  </si>
  <si>
    <t>${t.get("CompetitionBook.MCT_RightHeader")} - ${t.get("CompetitionBook.MCT_LeftHeader")}</t>
  </si>
  <si>
    <t>${t.get("CompetitionBook.WCT_RightHeader")} - ${t.get("CompetitionBook.WCT_LeftHeader")}</t>
  </si>
  <si>
    <t>${t.get("CompetitionBook.MWCT_RightHeader")} - ${t.get("CompetitionBook.MWCT_LeftHeader")}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</si>
  <si>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</si>
  <si>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</si>
  <si>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</si>
  <si>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</si>
  <si>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</si>
  <si>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</si>
  <si>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</si>
  <si>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</si>
  <si>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</si>
  <si>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</si>
  <si>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</si>
  <si>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${t.get("Results.TeamRank")}</t>
  </si>
  <si>
    <t>${t.get("Results.PointsScored")}</t>
  </si>
  <si>
    <t>${t.get("Results.Rank")} (${t.get("Results.Snatch")})</t>
  </si>
  <si>
    <t>${t.get("Results.Rank")} (${t.get("Results.cleanJerk")})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</si>
  <si>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</si>
  <si>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</si>
  <si>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</si>
  <si>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</si>
  <si>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</si>
  <si>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</si>
  <si>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</si>
  <si>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</si>
  <si>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</si>
  <si>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</si>
  <si>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</si>
  <si>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</si>
  <si>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</si>
  <si>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</si>
  <si>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</si>
  <si>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</si>
  <si>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</si>
  <si>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</si>
  <si>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</si>
  <si>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</si>
  <si>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</si>
  <si>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</si>
  <si>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</si>
  <si>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</si>
  <si>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</si>
  <si>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</si>
  <si>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</si>
  <si>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</si>
  <si>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</si>
  <si>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</si>
  <si>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</si>
  <si>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</si>
  <si>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</si>
  <si>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</si>
  <si>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</si>
  <si>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</si>
  <si>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</si>
  <si>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</si>
  <si>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</si>
  <si>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</si>
  <si>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$[VLOOKUP(H12,Points!$A$2:$B$202,2)+VLOOKUP(I12,Points!$A$2:$B$202,2)+VLOOKUP(J12,Points!$A$2:$B$202,2)]</t>
  </si>
  <si>
    <t>${t.get("Results.Points")} (${t.get("Results.Combined")})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</si>
  <si>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</si>
  <si>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</si>
  <si>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</si>
  <si>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</si>
  <si>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</si>
  <si>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</si>
  <si>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</si>
  <si>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</si>
  <si>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</si>
  <si>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</si>
  <si>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</si>
  <si>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</si>
  <si>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</si>
  <si>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</si>
  <si>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</si>
  <si>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</si>
  <si>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</si>
  <si>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</si>
  <si>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</si>
  <si>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</si>
  <si>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</si>
  <si>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</si>
  <si>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${r.resRecordLift}</t>
  </si>
  <si>
    <t>${r.resAthleteName}</t>
  </si>
  <si>
    <t>$[sumif(a10:a14,a5,n10:n14)]</t>
  </si>
  <si>
    <t>$[sumif(a10:a14,a5,p10:p14)]</t>
  </si>
  <si>
    <t>$[sumif(a10:a14,a5,o10:o14)]</t>
  </si>
  <si>
    <t>$[countif(h12:j12,1)]</t>
  </si>
  <si>
    <t>$[countif(h12:j12,2)]</t>
  </si>
  <si>
    <t>$[countif(h12:j12,3)]</t>
  </si>
  <si>
    <t>${t.get("Medal.Bronze")}</t>
  </si>
  <si>
    <t>${t.get("Medal.Gold")}</t>
  </si>
  <si>
    <t>${t.get("Medal.Silver")}</t>
  </si>
  <si>
    <t>${t.get("Results.Rank")} (${t.get("Results.Total")})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</si>
  <si>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</si>
  <si>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</si>
  <si>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</si>
  <si>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</si>
  <si>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</si>
  <si>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</si>
  <si>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</si>
  <si>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</si>
  <si>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</si>
  <si>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</si>
  <si>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${l.snatchRank &lt; 0 ? 0 : l.snatchRank }</t>
  </si>
  <si>
    <t>${l.cleanJerkRank &lt; 0 ? 0 : l.cleanJerkRank}</t>
  </si>
  <si>
    <t>${l.totalRank &lt; 0 ? 0 : l.totalRank}</t>
  </si>
  <si>
    <t>${t.get("Results.MenBestN")}</t>
  </si>
  <si>
    <t>${competition.menBestNElseDefault}</t>
  </si>
  <si>
    <t>${t.get("Results.WomenBestN")}</t>
  </si>
  <si>
    <t>${competition.womenBestNElseDefault}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</si>
</sst>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1" xfId="0" applyBorder="1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B1" sqref="B1:G1"/>
    </sheetView>
  </sheetViews>
  <sheetFormatPr defaultColWidth="11.42578125" defaultRowHeight="12.75" x14ac:dyDescent="0.2"/>
  <cols>
    <col min="1" max="13" width="8.7109375" customWidth="1"/>
    <col min="14" max="14" width="8.7109375" style="23" customWidth="1"/>
    <col min="15" max="17" width="8.7109375" style="1" customWidth="1"/>
    <col min="18" max="18" width="8.7109375" customWidth="1"/>
    <col min="19" max="19" width="16.5703125" style="23" customWidth="1"/>
  </cols>
  <sheetData>
    <row r="1" spans="1:19" ht="18" x14ac:dyDescent="0.25">
      <c r="A1" s="44" t="s">
        <v>68</v>
      </c>
      <c r="B1" s="102" t="s">
        <v>69</v>
      </c>
      <c r="C1" s="102"/>
      <c r="D1" s="102"/>
      <c r="E1" s="102"/>
      <c r="F1" s="102"/>
      <c r="G1" s="102"/>
      <c r="H1" s="44"/>
      <c r="I1" s="44"/>
      <c r="J1" s="44" t="s">
        <v>70</v>
      </c>
      <c r="K1" s="45" t="s">
        <v>71</v>
      </c>
    </row>
    <row r="2" spans="1:19" x14ac:dyDescent="0.2">
      <c r="A2" s="44" t="s">
        <v>72</v>
      </c>
      <c r="B2" s="103" t="s">
        <v>73</v>
      </c>
      <c r="C2" s="103"/>
      <c r="D2" s="103"/>
      <c r="E2" s="103"/>
      <c r="F2" s="103"/>
      <c r="G2" s="103"/>
      <c r="H2" s="44"/>
      <c r="I2" s="44"/>
      <c r="J2" s="44" t="s">
        <v>74</v>
      </c>
      <c r="K2" s="45" t="s">
        <v>75</v>
      </c>
    </row>
    <row r="3" spans="1:19" x14ac:dyDescent="0.2">
      <c r="A3" s="44" t="s">
        <v>76</v>
      </c>
      <c r="B3" s="103" t="s">
        <v>105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77</v>
      </c>
    </row>
    <row r="8" spans="1:19" s="3" customFormat="1" ht="20.25" customHeight="1" x14ac:dyDescent="0.25">
      <c r="A8" s="47" t="s">
        <v>78</v>
      </c>
      <c r="B8" s="48"/>
      <c r="C8" s="48" t="s">
        <v>79</v>
      </c>
      <c r="D8" s="45" t="s">
        <v>100</v>
      </c>
      <c r="G8" s="48"/>
      <c r="H8" s="48"/>
      <c r="I8" t="s">
        <v>80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81</v>
      </c>
      <c r="D10" s="45" t="s">
        <v>82</v>
      </c>
      <c r="H10" s="44" t="s">
        <v>83</v>
      </c>
      <c r="I10" s="45" t="s">
        <v>84</v>
      </c>
      <c r="L10" s="44" t="s">
        <v>110</v>
      </c>
      <c r="M10" s="45" t="s">
        <v>85</v>
      </c>
    </row>
    <row r="11" spans="1:19" x14ac:dyDescent="0.2">
      <c r="C11" s="44" t="s">
        <v>86</v>
      </c>
      <c r="D11" s="45" t="s">
        <v>87</v>
      </c>
      <c r="E11" s="1"/>
      <c r="H11" s="44" t="s">
        <v>88</v>
      </c>
      <c r="I11" s="45" t="s">
        <v>89</v>
      </c>
      <c r="J11" s="45"/>
      <c r="K11" s="1"/>
      <c r="M11" s="45" t="s">
        <v>90</v>
      </c>
      <c r="N11" s="1"/>
      <c r="P11"/>
      <c r="Q11" s="45"/>
      <c r="R11" s="52"/>
      <c r="S11"/>
    </row>
    <row r="12" spans="1:19" x14ac:dyDescent="0.2">
      <c r="C12" s="44" t="s">
        <v>91</v>
      </c>
      <c r="D12" s="45" t="s">
        <v>92</v>
      </c>
      <c r="E12" s="1"/>
      <c r="H12" s="44" t="s">
        <v>93</v>
      </c>
      <c r="I12" s="45" t="s">
        <v>94</v>
      </c>
      <c r="J12" s="45"/>
      <c r="K12" s="1"/>
      <c r="M12" s="45" t="s">
        <v>95</v>
      </c>
      <c r="N12" s="1"/>
      <c r="O12" s="45"/>
      <c r="Q12" s="53"/>
      <c r="R12" s="52"/>
      <c r="S12"/>
    </row>
    <row r="13" spans="1:19" x14ac:dyDescent="0.2">
      <c r="C13" s="44" t="s">
        <v>96</v>
      </c>
      <c r="D13" s="52" t="s">
        <v>97</v>
      </c>
      <c r="J13" s="1"/>
      <c r="K13" s="1"/>
      <c r="M13" t="s">
        <v>98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99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3"/>
      <c r="R17"/>
      <c r="S17" s="23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3"/>
      <c r="R18"/>
      <c r="S18" s="23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3"/>
      <c r="R19"/>
      <c r="S19" s="23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3"/>
      <c r="R20"/>
      <c r="S20" s="23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3"/>
      <c r="R21"/>
      <c r="S21" s="23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3"/>
      <c r="R22"/>
      <c r="S22" s="23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3"/>
      <c r="R23"/>
      <c r="S23" s="23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3"/>
      <c r="R24"/>
      <c r="S24" s="23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3"/>
      <c r="R25"/>
      <c r="S25" s="23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3"/>
      <c r="R26"/>
      <c r="S26" s="23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3"/>
      <c r="R27"/>
      <c r="S27" s="23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3"/>
      <c r="R28"/>
      <c r="S28" s="23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3"/>
      <c r="R29"/>
      <c r="S29" s="23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3"/>
      <c r="R30"/>
      <c r="S30" s="23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3"/>
      <c r="R31"/>
      <c r="S31" s="23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3"/>
      <c r="R32"/>
      <c r="S32" s="23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3"/>
      <c r="R33"/>
      <c r="S33" s="23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3"/>
      <c r="R34"/>
      <c r="S34" s="23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3"/>
      <c r="R35"/>
      <c r="S35" s="23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3"/>
      <c r="R36"/>
      <c r="S36" s="23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3"/>
      <c r="R37"/>
      <c r="S37" s="23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3"/>
      <c r="R38"/>
      <c r="S38" s="23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3"/>
      <c r="R39"/>
      <c r="S39" s="23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3"/>
      <c r="R40"/>
      <c r="S40" s="23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3"/>
      <c r="R41"/>
      <c r="S41" s="23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3"/>
      <c r="R42"/>
      <c r="S42" s="23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3"/>
      <c r="R43"/>
      <c r="S43" s="23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3"/>
      <c r="R44"/>
      <c r="S44" s="23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3"/>
      <c r="R45"/>
      <c r="S45" s="23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3"/>
      <c r="R46"/>
      <c r="S46" s="23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3"/>
      <c r="R47"/>
      <c r="S47" s="23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3"/>
      <c r="R48"/>
      <c r="S48" s="23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3"/>
      <c r="R49"/>
      <c r="S49" s="23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3"/>
      <c r="R50"/>
      <c r="S50" s="23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3"/>
      <c r="R51"/>
      <c r="S51" s="23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3"/>
      <c r="R52"/>
      <c r="S52" s="23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3"/>
      <c r="R53"/>
      <c r="S53" s="23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3"/>
      <c r="R54"/>
      <c r="S54" s="23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3"/>
      <c r="R55"/>
      <c r="S55" s="23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3"/>
      <c r="R56"/>
      <c r="S56" s="23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3"/>
      <c r="R57"/>
      <c r="S57" s="23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3"/>
      <c r="R58"/>
      <c r="S58" s="23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3"/>
      <c r="R59"/>
      <c r="S59" s="23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3"/>
      <c r="R60"/>
      <c r="S60" s="23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3"/>
      <c r="R61"/>
      <c r="S61" s="23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3"/>
      <c r="R62"/>
      <c r="S62" s="23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3"/>
      <c r="R63"/>
      <c r="S63" s="23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3"/>
      <c r="R64"/>
      <c r="S64" s="23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3"/>
      <c r="R65"/>
      <c r="S65" s="23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3"/>
      <c r="R66"/>
      <c r="S66" s="23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3"/>
      <c r="R67"/>
      <c r="S67" s="23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3"/>
      <c r="R68"/>
      <c r="S68" s="23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3"/>
      <c r="R69"/>
      <c r="S69" s="23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3"/>
      <c r="R70"/>
      <c r="S70" s="23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3"/>
      <c r="R71"/>
      <c r="S71" s="23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3"/>
      <c r="R72"/>
      <c r="S72" s="23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3"/>
      <c r="R73"/>
      <c r="S73" s="23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3"/>
      <c r="R74"/>
      <c r="S74" s="23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3"/>
      <c r="R75"/>
      <c r="S75" s="23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3"/>
      <c r="R76"/>
      <c r="S76" s="23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3"/>
      <c r="R77"/>
      <c r="S77" s="23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3"/>
      <c r="R78"/>
      <c r="S78" s="23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3"/>
      <c r="R79"/>
      <c r="S79" s="23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3"/>
      <c r="R80"/>
      <c r="S80" s="23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3"/>
      <c r="R81"/>
      <c r="S81" s="23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3"/>
      <c r="R82"/>
      <c r="S82" s="23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3"/>
      <c r="R83"/>
      <c r="S83" s="23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3"/>
      <c r="R84"/>
      <c r="S84" s="23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3"/>
      <c r="R85"/>
      <c r="S85" s="23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3"/>
      <c r="R86"/>
      <c r="S86" s="23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3"/>
      <c r="R87"/>
      <c r="S87" s="23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3"/>
      <c r="R88"/>
      <c r="S88" s="23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3"/>
      <c r="R89"/>
      <c r="S89" s="23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3"/>
      <c r="R90"/>
      <c r="S90" s="23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3"/>
      <c r="R91"/>
      <c r="S91" s="23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3"/>
      <c r="R92"/>
      <c r="S92" s="23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3"/>
      <c r="R93"/>
      <c r="S93" s="23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3"/>
      <c r="R94"/>
      <c r="S94" s="23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3"/>
      <c r="R95"/>
      <c r="S95" s="23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scale="8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3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11" t="s">
        <v>43</v>
      </c>
      <c r="B1" s="113" t="s">
        <v>42</v>
      </c>
      <c r="C1" s="115" t="s">
        <v>41</v>
      </c>
      <c r="D1" s="117" t="s">
        <v>26</v>
      </c>
      <c r="E1" s="107" t="s">
        <v>54</v>
      </c>
      <c r="F1" s="107" t="s">
        <v>55</v>
      </c>
      <c r="G1" s="107" t="s">
        <v>56</v>
      </c>
      <c r="H1" s="107" t="s">
        <v>57</v>
      </c>
      <c r="I1" s="109" t="s">
        <v>58</v>
      </c>
      <c r="J1" s="110"/>
      <c r="K1" s="110"/>
      <c r="L1" s="110"/>
      <c r="M1" s="110"/>
      <c r="N1" s="109" t="s">
        <v>59</v>
      </c>
      <c r="O1" s="110"/>
      <c r="P1" s="110"/>
      <c r="Q1" s="110"/>
      <c r="R1" s="110"/>
      <c r="S1" s="104" t="s">
        <v>60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4">
        <v>1</v>
      </c>
      <c r="J2" s="17">
        <v>2</v>
      </c>
      <c r="K2" s="17">
        <v>3</v>
      </c>
      <c r="L2" s="33" t="s">
        <v>61</v>
      </c>
      <c r="M2" s="56" t="s">
        <v>62</v>
      </c>
      <c r="N2" s="17">
        <v>1</v>
      </c>
      <c r="O2" s="17">
        <v>2</v>
      </c>
      <c r="P2" s="17">
        <v>3</v>
      </c>
      <c r="Q2" s="33" t="s">
        <v>61</v>
      </c>
      <c r="R2" s="56" t="s">
        <v>62</v>
      </c>
      <c r="S2" s="32" t="s">
        <v>60</v>
      </c>
      <c r="T2" s="56" t="s">
        <v>62</v>
      </c>
    </row>
    <row r="3" spans="1:23" s="19" customFormat="1" ht="16.5" customHeight="1" x14ac:dyDescent="0.2">
      <c r="A3" s="57" t="s">
        <v>101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9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102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103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9" customFormat="1" ht="21.2" customHeight="1" x14ac:dyDescent="0.2">
      <c r="A7" s="31" t="s">
        <v>28</v>
      </c>
      <c r="B7" s="30" t="s">
        <v>0</v>
      </c>
      <c r="C7" s="30" t="s">
        <v>1</v>
      </c>
      <c r="D7" s="18"/>
      <c r="E7" s="28" t="s">
        <v>29</v>
      </c>
      <c r="F7" s="29" t="s">
        <v>2</v>
      </c>
      <c r="G7" s="28" t="s">
        <v>3</v>
      </c>
      <c r="H7" s="27" t="s">
        <v>39</v>
      </c>
      <c r="I7" s="26" t="s">
        <v>30</v>
      </c>
      <c r="J7" s="26" t="s">
        <v>31</v>
      </c>
      <c r="K7" s="26" t="s">
        <v>32</v>
      </c>
      <c r="L7" s="25" t="s">
        <v>33</v>
      </c>
      <c r="M7" s="55" t="s">
        <v>150</v>
      </c>
      <c r="N7" s="26" t="s">
        <v>34</v>
      </c>
      <c r="O7" s="26" t="s">
        <v>35</v>
      </c>
      <c r="P7" s="26" t="s">
        <v>36</v>
      </c>
      <c r="Q7" s="25" t="s">
        <v>37</v>
      </c>
      <c r="R7" s="55" t="s">
        <v>151</v>
      </c>
      <c r="S7" s="24" t="s">
        <v>4</v>
      </c>
      <c r="T7" s="54" t="s">
        <v>152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20"/>
      <c r="C13" s="1"/>
    </row>
    <row r="14" spans="1:23" x14ac:dyDescent="0.2">
      <c r="C14" s="1"/>
    </row>
    <row r="15" spans="1:23" x14ac:dyDescent="0.2">
      <c r="C15" s="1"/>
      <c r="R15" s="106"/>
    </row>
    <row r="16" spans="1:23" x14ac:dyDescent="0.2">
      <c r="C16" s="1"/>
      <c r="R16" s="10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R15:R16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11" t="s">
        <v>43</v>
      </c>
      <c r="B1" s="113" t="s">
        <v>42</v>
      </c>
      <c r="C1" s="115" t="s">
        <v>41</v>
      </c>
      <c r="D1" s="117" t="s">
        <v>26</v>
      </c>
      <c r="E1" s="107" t="s">
        <v>54</v>
      </c>
      <c r="F1" s="107" t="s">
        <v>55</v>
      </c>
      <c r="G1" s="107" t="s">
        <v>56</v>
      </c>
      <c r="H1" s="107" t="s">
        <v>57</v>
      </c>
      <c r="I1" s="109" t="s">
        <v>58</v>
      </c>
      <c r="J1" s="110"/>
      <c r="K1" s="110"/>
      <c r="L1" s="110"/>
      <c r="M1" s="110"/>
      <c r="N1" s="109" t="s">
        <v>59</v>
      </c>
      <c r="O1" s="110"/>
      <c r="P1" s="110"/>
      <c r="Q1" s="110"/>
      <c r="R1" s="110"/>
      <c r="S1" s="104" t="s">
        <v>60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4">
        <v>1</v>
      </c>
      <c r="J2" s="17">
        <v>2</v>
      </c>
      <c r="K2" s="17">
        <v>3</v>
      </c>
      <c r="L2" s="33" t="s">
        <v>61</v>
      </c>
      <c r="M2" s="56" t="s">
        <v>62</v>
      </c>
      <c r="N2" s="17">
        <v>1</v>
      </c>
      <c r="O2" s="17">
        <v>2</v>
      </c>
      <c r="P2" s="17">
        <v>3</v>
      </c>
      <c r="Q2" s="33" t="s">
        <v>61</v>
      </c>
      <c r="R2" s="56" t="s">
        <v>62</v>
      </c>
      <c r="S2" s="32" t="s">
        <v>60</v>
      </c>
      <c r="T2" s="56" t="s">
        <v>62</v>
      </c>
    </row>
    <row r="3" spans="1:23" s="19" customFormat="1" ht="16.5" customHeight="1" x14ac:dyDescent="0.2">
      <c r="A3" s="57" t="s">
        <v>104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9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102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103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9" customFormat="1" ht="21.2" customHeight="1" x14ac:dyDescent="0.2">
      <c r="A7" s="31" t="s">
        <v>28</v>
      </c>
      <c r="B7" s="30" t="s">
        <v>0</v>
      </c>
      <c r="C7" s="30" t="s">
        <v>1</v>
      </c>
      <c r="D7" s="18"/>
      <c r="E7" s="28" t="s">
        <v>29</v>
      </c>
      <c r="F7" s="29" t="s">
        <v>2</v>
      </c>
      <c r="G7" s="28" t="s">
        <v>3</v>
      </c>
      <c r="H7" s="27" t="s">
        <v>39</v>
      </c>
      <c r="I7" s="26" t="s">
        <v>30</v>
      </c>
      <c r="J7" s="26" t="s">
        <v>31</v>
      </c>
      <c r="K7" s="26" t="s">
        <v>32</v>
      </c>
      <c r="L7" s="25" t="s">
        <v>33</v>
      </c>
      <c r="M7" s="55" t="s">
        <v>150</v>
      </c>
      <c r="N7" s="26" t="s">
        <v>34</v>
      </c>
      <c r="O7" s="26" t="s">
        <v>35</v>
      </c>
      <c r="P7" s="26" t="s">
        <v>36</v>
      </c>
      <c r="Q7" s="25" t="s">
        <v>37</v>
      </c>
      <c r="R7" s="55" t="s">
        <v>151</v>
      </c>
      <c r="S7" s="24" t="s">
        <v>4</v>
      </c>
      <c r="T7" s="54" t="s">
        <v>152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20"/>
      <c r="C14" s="1"/>
    </row>
    <row r="15" spans="1:23" x14ac:dyDescent="0.2">
      <c r="C15" s="1"/>
    </row>
    <row r="16" spans="1:23" x14ac:dyDescent="0.2">
      <c r="C16" s="1"/>
      <c r="P16" s="106"/>
    </row>
    <row r="17" spans="3:16" x14ac:dyDescent="0.2">
      <c r="C17" s="1"/>
      <c r="P17" s="10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P16:P17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70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35301-E39A-412F-8DAA-0E7E10E7CC84}">
  <sheetPr>
    <pageSetUpPr fitToPage="1"/>
  </sheetPr>
  <dimension ref="A1:V102"/>
  <sheetViews>
    <sheetView showGridLines="0" tabSelected="1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3" customWidth="1"/>
    <col min="15" max="17" width="7.7109375" style="1" customWidth="1"/>
    <col min="18" max="18" width="18.7109375" customWidth="1"/>
    <col min="19" max="19" width="9.85546875" style="23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43</v>
      </c>
      <c r="B1" s="120" t="s">
        <v>42</v>
      </c>
      <c r="C1" s="122" t="s">
        <v>41</v>
      </c>
      <c r="D1" s="117" t="s">
        <v>26</v>
      </c>
      <c r="E1" s="107" t="s">
        <v>54</v>
      </c>
      <c r="F1" s="125" t="s">
        <v>55</v>
      </c>
      <c r="G1" s="126" t="s">
        <v>56</v>
      </c>
      <c r="H1" s="127" t="s">
        <v>57</v>
      </c>
      <c r="I1" s="129" t="s">
        <v>58</v>
      </c>
      <c r="J1" s="129"/>
      <c r="K1" s="129"/>
      <c r="L1" s="129"/>
      <c r="M1" s="129" t="s">
        <v>59</v>
      </c>
      <c r="N1" s="129"/>
      <c r="O1" s="129"/>
      <c r="P1" s="129"/>
      <c r="Q1" s="130" t="s">
        <v>60</v>
      </c>
      <c r="R1" s="119" t="s">
        <v>144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7">
        <v>1</v>
      </c>
      <c r="J2" s="17">
        <v>2</v>
      </c>
      <c r="K2" s="17">
        <v>3</v>
      </c>
      <c r="L2" s="33" t="s">
        <v>27</v>
      </c>
      <c r="M2" s="17">
        <v>1</v>
      </c>
      <c r="N2" s="17">
        <v>2</v>
      </c>
      <c r="O2" s="17">
        <v>3</v>
      </c>
      <c r="P2" s="38" t="s">
        <v>27</v>
      </c>
      <c r="Q2" s="131"/>
      <c r="R2" s="32" t="s">
        <v>145</v>
      </c>
      <c r="S2" s="56" t="s">
        <v>62</v>
      </c>
    </row>
    <row r="3" spans="1:22" x14ac:dyDescent="0.2">
      <c r="A3" t="s">
        <v>146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9" customFormat="1" ht="21.2" customHeight="1" x14ac:dyDescent="0.2">
      <c r="A4" s="31" t="s">
        <v>28</v>
      </c>
      <c r="B4" s="37" t="s">
        <v>0</v>
      </c>
      <c r="C4" s="37" t="s">
        <v>1</v>
      </c>
      <c r="D4" s="18"/>
      <c r="E4" s="28" t="s">
        <v>147</v>
      </c>
      <c r="F4" s="29" t="s">
        <v>2</v>
      </c>
      <c r="G4" s="28" t="s">
        <v>3</v>
      </c>
      <c r="H4" s="101" t="s">
        <v>39</v>
      </c>
      <c r="I4" s="26" t="s">
        <v>30</v>
      </c>
      <c r="J4" s="26" t="s">
        <v>31</v>
      </c>
      <c r="K4" s="26" t="s">
        <v>32</v>
      </c>
      <c r="L4" s="25" t="s">
        <v>33</v>
      </c>
      <c r="M4" s="26" t="s">
        <v>34</v>
      </c>
      <c r="N4" s="26" t="s">
        <v>35</v>
      </c>
      <c r="O4" s="26" t="s">
        <v>36</v>
      </c>
      <c r="P4" s="25" t="s">
        <v>37</v>
      </c>
      <c r="Q4" s="24" t="s">
        <v>4</v>
      </c>
      <c r="R4" s="36" t="s">
        <v>148</v>
      </c>
      <c r="S4" s="35" t="s">
        <v>153</v>
      </c>
      <c r="V4" s="21" t="s">
        <v>38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20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3C0F7F9D-CD17-4545-965C-72382DE4BD7C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3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8C7B-5960-4DBD-877B-44C6697E073E}">
  <sheetPr>
    <pageSetUpPr fitToPage="1"/>
  </sheetPr>
  <dimension ref="A1:S97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3" customWidth="1"/>
    <col min="15" max="17" width="7.7109375" style="1" customWidth="1"/>
    <col min="18" max="18" width="18.7109375" customWidth="1"/>
    <col min="19" max="19" width="9.85546875" style="23" customWidth="1"/>
    <col min="20" max="20" width="11" customWidth="1"/>
  </cols>
  <sheetData>
    <row r="1" spans="1:19" ht="15" customHeight="1" x14ac:dyDescent="0.2">
      <c r="A1" s="120" t="s">
        <v>43</v>
      </c>
      <c r="B1" s="120" t="s">
        <v>42</v>
      </c>
      <c r="C1" s="122" t="s">
        <v>41</v>
      </c>
      <c r="D1" s="117" t="s">
        <v>26</v>
      </c>
      <c r="E1" s="107" t="s">
        <v>54</v>
      </c>
      <c r="F1" s="125" t="s">
        <v>55</v>
      </c>
      <c r="G1" s="126" t="s">
        <v>56</v>
      </c>
      <c r="H1" s="127" t="s">
        <v>57</v>
      </c>
      <c r="I1" s="129" t="s">
        <v>58</v>
      </c>
      <c r="J1" s="129"/>
      <c r="K1" s="129"/>
      <c r="L1" s="129"/>
      <c r="M1" s="129" t="s">
        <v>59</v>
      </c>
      <c r="N1" s="129"/>
      <c r="O1" s="129"/>
      <c r="P1" s="129"/>
      <c r="Q1" s="130" t="s">
        <v>60</v>
      </c>
      <c r="R1" s="119" t="s">
        <v>144</v>
      </c>
      <c r="S1" s="119"/>
    </row>
    <row r="2" spans="1:19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7">
        <v>1</v>
      </c>
      <c r="J2" s="17">
        <v>2</v>
      </c>
      <c r="K2" s="17">
        <v>3</v>
      </c>
      <c r="L2" s="33" t="s">
        <v>27</v>
      </c>
      <c r="M2" s="17">
        <v>1</v>
      </c>
      <c r="N2" s="17">
        <v>2</v>
      </c>
      <c r="O2" s="17">
        <v>3</v>
      </c>
      <c r="P2" s="38" t="s">
        <v>27</v>
      </c>
      <c r="Q2" s="131"/>
      <c r="R2" s="32" t="s">
        <v>145</v>
      </c>
      <c r="S2" s="56" t="s">
        <v>62</v>
      </c>
    </row>
    <row r="3" spans="1:19" x14ac:dyDescent="0.2">
      <c r="A3" t="s">
        <v>149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9" customFormat="1" ht="21.2" customHeight="1" x14ac:dyDescent="0.2">
      <c r="A4" s="31" t="s">
        <v>28</v>
      </c>
      <c r="B4" s="37" t="s">
        <v>0</v>
      </c>
      <c r="C4" s="37" t="s">
        <v>1</v>
      </c>
      <c r="D4" s="18"/>
      <c r="E4" s="28" t="s">
        <v>147</v>
      </c>
      <c r="F4" s="29" t="s">
        <v>2</v>
      </c>
      <c r="G4" s="28" t="s">
        <v>3</v>
      </c>
      <c r="H4" s="101" t="s">
        <v>39</v>
      </c>
      <c r="I4" s="26" t="s">
        <v>30</v>
      </c>
      <c r="J4" s="26" t="s">
        <v>31</v>
      </c>
      <c r="K4" s="26" t="s">
        <v>32</v>
      </c>
      <c r="L4" s="25" t="s">
        <v>33</v>
      </c>
      <c r="M4" s="26" t="s">
        <v>34</v>
      </c>
      <c r="N4" s="26" t="s">
        <v>35</v>
      </c>
      <c r="O4" s="26" t="s">
        <v>36</v>
      </c>
      <c r="P4" s="25" t="s">
        <v>37</v>
      </c>
      <c r="Q4" s="24" t="s">
        <v>4</v>
      </c>
      <c r="R4" s="36" t="s">
        <v>148</v>
      </c>
      <c r="S4" s="35" t="s">
        <v>153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D62832B7-D8C1-43A5-9CF6-538F5C388EF1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2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5" t="s">
        <v>50</v>
      </c>
      <c r="B1" s="3"/>
      <c r="C1" s="3"/>
    </row>
    <row r="2" spans="1:19" ht="13.5" thickBot="1" x14ac:dyDescent="0.25">
      <c r="M2"/>
      <c r="P2"/>
    </row>
    <row r="3" spans="1:19" s="8" customFormat="1" ht="39" thickBot="1" x14ac:dyDescent="0.25">
      <c r="A3" s="43" t="s">
        <v>56</v>
      </c>
      <c r="B3" s="42" t="s">
        <v>63</v>
      </c>
      <c r="C3" s="42" t="s">
        <v>62</v>
      </c>
      <c r="D3" s="68" t="s">
        <v>48</v>
      </c>
      <c r="M3" s="43" t="s">
        <v>56</v>
      </c>
      <c r="N3" s="42" t="s">
        <v>141</v>
      </c>
      <c r="O3" s="68" t="s">
        <v>142</v>
      </c>
      <c r="P3" s="68" t="s">
        <v>140</v>
      </c>
    </row>
    <row r="4" spans="1:19" x14ac:dyDescent="0.2">
      <c r="A4" t="s">
        <v>17</v>
      </c>
      <c r="B4" s="16"/>
      <c r="M4"/>
      <c r="N4" s="16"/>
      <c r="O4" s="16"/>
      <c r="P4"/>
      <c r="Q4"/>
      <c r="R4"/>
      <c r="S4"/>
    </row>
    <row r="5" spans="1:19" x14ac:dyDescent="0.2">
      <c r="A5" s="41" t="s">
        <v>10</v>
      </c>
      <c r="B5" s="40" t="s">
        <v>23</v>
      </c>
      <c r="C5" s="40" t="s">
        <v>15</v>
      </c>
      <c r="D5" s="65" t="s">
        <v>21</v>
      </c>
      <c r="M5" s="41" t="s">
        <v>10</v>
      </c>
      <c r="N5" s="40" t="s">
        <v>134</v>
      </c>
      <c r="O5" s="40" t="s">
        <v>136</v>
      </c>
      <c r="P5" s="100" t="s">
        <v>135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9"/>
      <c r="B7" s="10"/>
      <c r="C7" s="9"/>
      <c r="D7" s="9"/>
      <c r="M7" s="9"/>
      <c r="N7" s="10"/>
      <c r="O7" s="9"/>
      <c r="P7" s="9"/>
    </row>
    <row r="8" spans="1:19" x14ac:dyDescent="0.2">
      <c r="A8" s="3" t="s">
        <v>47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56</v>
      </c>
      <c r="B10" s="6" t="s">
        <v>42</v>
      </c>
      <c r="C10" s="6" t="s">
        <v>41</v>
      </c>
      <c r="D10" s="6" t="s">
        <v>46</v>
      </c>
      <c r="E10" s="6" t="s">
        <v>55</v>
      </c>
      <c r="F10" s="6" t="s">
        <v>56</v>
      </c>
      <c r="G10" s="7" t="s">
        <v>60</v>
      </c>
      <c r="H10" s="7" t="s">
        <v>66</v>
      </c>
      <c r="I10" s="7" t="s">
        <v>67</v>
      </c>
      <c r="J10" s="7" t="s">
        <v>143</v>
      </c>
      <c r="K10" s="7" t="s">
        <v>109</v>
      </c>
      <c r="L10" s="7" t="s">
        <v>64</v>
      </c>
      <c r="M10" s="39" t="s">
        <v>65</v>
      </c>
      <c r="N10" s="68" t="s">
        <v>141</v>
      </c>
      <c r="O10" s="68" t="s">
        <v>142</v>
      </c>
      <c r="P10" s="68" t="s">
        <v>140</v>
      </c>
    </row>
    <row r="11" spans="1:19" x14ac:dyDescent="0.2">
      <c r="A11" t="s">
        <v>12</v>
      </c>
      <c r="M11"/>
      <c r="N11"/>
      <c r="O11"/>
      <c r="P11"/>
      <c r="Q11"/>
      <c r="R11"/>
      <c r="S11"/>
    </row>
    <row r="12" spans="1:19" x14ac:dyDescent="0.2">
      <c r="A12" s="14" t="s">
        <v>3</v>
      </c>
      <c r="B12" s="13" t="s">
        <v>1</v>
      </c>
      <c r="C12" s="13" t="s">
        <v>0</v>
      </c>
      <c r="D12" s="12" t="s">
        <v>8</v>
      </c>
      <c r="E12" s="22" t="s">
        <v>2</v>
      </c>
      <c r="F12" s="12" t="s">
        <v>7</v>
      </c>
      <c r="G12" s="11" t="s">
        <v>4</v>
      </c>
      <c r="H12" s="11" t="s">
        <v>154</v>
      </c>
      <c r="I12" s="11" t="s">
        <v>155</v>
      </c>
      <c r="J12" s="11" t="s">
        <v>156</v>
      </c>
      <c r="K12" s="11" t="s">
        <v>108</v>
      </c>
      <c r="L12" s="11" t="s">
        <v>53</v>
      </c>
      <c r="M12" s="66" t="s">
        <v>14</v>
      </c>
      <c r="N12" s="66" t="s">
        <v>137</v>
      </c>
      <c r="O12" s="66" t="s">
        <v>138</v>
      </c>
      <c r="P12" s="66" t="s">
        <v>139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9"/>
      <c r="B14" s="10" t="str">
        <f ca="1">IF(A14&gt;0,SUMIF(OFFSET($A$12,0,0,$C$15,1),A14,OFFSET($A$12,0,9,$C$15,1)),"")</f>
        <v/>
      </c>
      <c r="C14" s="9" t="str">
        <f ca="1">IF(A14&gt;0,RANK(B14,OFFSET(A$5,0,0,#REF!,2)),"")</f>
        <v/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9" x14ac:dyDescent="0.2">
      <c r="A15" t="s">
        <v>45</v>
      </c>
      <c r="C15" t="s">
        <v>18</v>
      </c>
    </row>
    <row r="16" spans="1:19" x14ac:dyDescent="0.2">
      <c r="A16" s="4" t="s">
        <v>44</v>
      </c>
      <c r="B16" s="5"/>
      <c r="C16" t="s">
        <v>6</v>
      </c>
    </row>
    <row r="17" spans="1:3" x14ac:dyDescent="0.2">
      <c r="A17" t="s">
        <v>157</v>
      </c>
      <c r="C17" t="s">
        <v>158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5" t="s">
        <v>51</v>
      </c>
      <c r="B1" s="3"/>
      <c r="C1" s="3"/>
    </row>
    <row r="2" spans="1:19" ht="13.5" thickBot="1" x14ac:dyDescent="0.25">
      <c r="M2"/>
      <c r="P2"/>
    </row>
    <row r="3" spans="1:19" s="8" customFormat="1" ht="39" thickBot="1" x14ac:dyDescent="0.25">
      <c r="A3" s="43" t="s">
        <v>56</v>
      </c>
      <c r="B3" s="42" t="s">
        <v>63</v>
      </c>
      <c r="C3" s="42" t="s">
        <v>62</v>
      </c>
      <c r="D3" s="68" t="s">
        <v>49</v>
      </c>
      <c r="M3" s="43" t="s">
        <v>56</v>
      </c>
      <c r="N3" s="42" t="s">
        <v>141</v>
      </c>
      <c r="O3" s="68" t="s">
        <v>142</v>
      </c>
      <c r="P3" s="68" t="s">
        <v>140</v>
      </c>
    </row>
    <row r="4" spans="1:19" x14ac:dyDescent="0.2">
      <c r="A4" t="s">
        <v>19</v>
      </c>
      <c r="B4" s="16"/>
      <c r="M4"/>
      <c r="N4" s="16"/>
      <c r="O4" s="16"/>
      <c r="P4"/>
      <c r="Q4"/>
      <c r="R4"/>
      <c r="S4"/>
    </row>
    <row r="5" spans="1:19" x14ac:dyDescent="0.2">
      <c r="A5" s="41" t="s">
        <v>10</v>
      </c>
      <c r="B5" s="40" t="s">
        <v>24</v>
      </c>
      <c r="C5" s="40" t="s">
        <v>15</v>
      </c>
      <c r="D5" s="65" t="s">
        <v>22</v>
      </c>
      <c r="M5" s="41" t="s">
        <v>10</v>
      </c>
      <c r="N5" s="40" t="s">
        <v>134</v>
      </c>
      <c r="O5" s="40" t="s">
        <v>136</v>
      </c>
      <c r="P5" s="100" t="s">
        <v>135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9"/>
      <c r="B7" s="10"/>
      <c r="C7" s="9"/>
      <c r="D7" s="9"/>
      <c r="M7" s="9"/>
      <c r="N7" s="10"/>
      <c r="O7" s="9"/>
      <c r="P7" s="9"/>
    </row>
    <row r="8" spans="1:19" x14ac:dyDescent="0.2">
      <c r="A8" s="3" t="s">
        <v>47</v>
      </c>
      <c r="B8" s="3"/>
      <c r="C8" s="3"/>
    </row>
    <row r="9" spans="1:19" ht="13.5" thickBot="1" x14ac:dyDescent="0.25"/>
    <row r="10" spans="1:19" ht="40.9" customHeight="1" thickBot="1" x14ac:dyDescent="0.25">
      <c r="A10" s="67" t="s">
        <v>56</v>
      </c>
      <c r="B10" s="6" t="s">
        <v>42</v>
      </c>
      <c r="C10" s="6" t="s">
        <v>41</v>
      </c>
      <c r="D10" s="6" t="s">
        <v>46</v>
      </c>
      <c r="E10" s="6" t="s">
        <v>55</v>
      </c>
      <c r="F10" s="6" t="s">
        <v>56</v>
      </c>
      <c r="G10" s="7" t="s">
        <v>60</v>
      </c>
      <c r="H10" s="7" t="s">
        <v>66</v>
      </c>
      <c r="I10" s="7" t="s">
        <v>67</v>
      </c>
      <c r="J10" s="7" t="s">
        <v>143</v>
      </c>
      <c r="K10" s="7" t="s">
        <v>109</v>
      </c>
      <c r="L10" s="7" t="s">
        <v>64</v>
      </c>
      <c r="M10" s="39" t="s">
        <v>65</v>
      </c>
      <c r="N10" s="68" t="s">
        <v>141</v>
      </c>
      <c r="O10" s="68" t="s">
        <v>142</v>
      </c>
      <c r="P10" s="68" t="s">
        <v>140</v>
      </c>
    </row>
    <row r="11" spans="1:19" x14ac:dyDescent="0.2">
      <c r="A11" t="s">
        <v>13</v>
      </c>
      <c r="M11"/>
      <c r="N11"/>
      <c r="O11"/>
      <c r="P11"/>
      <c r="Q11"/>
      <c r="R11"/>
      <c r="S11"/>
    </row>
    <row r="12" spans="1:19" x14ac:dyDescent="0.2">
      <c r="A12" s="14" t="s">
        <v>3</v>
      </c>
      <c r="B12" s="13" t="s">
        <v>1</v>
      </c>
      <c r="C12" s="13" t="s">
        <v>0</v>
      </c>
      <c r="D12" s="12" t="s">
        <v>8</v>
      </c>
      <c r="E12" s="22" t="s">
        <v>2</v>
      </c>
      <c r="F12" s="12" t="s">
        <v>7</v>
      </c>
      <c r="G12" s="11" t="s">
        <v>4</v>
      </c>
      <c r="H12" s="11" t="s">
        <v>154</v>
      </c>
      <c r="I12" s="11" t="s">
        <v>155</v>
      </c>
      <c r="J12" s="11" t="s">
        <v>156</v>
      </c>
      <c r="K12" s="11" t="s">
        <v>108</v>
      </c>
      <c r="L12" s="11" t="s">
        <v>53</v>
      </c>
      <c r="M12" s="66" t="s">
        <v>14</v>
      </c>
      <c r="N12" s="66" t="s">
        <v>137</v>
      </c>
      <c r="O12" s="66" t="s">
        <v>138</v>
      </c>
      <c r="P12" s="66" t="s">
        <v>139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9"/>
      <c r="B14" s="10" t="str">
        <f ca="1">IF(A14&gt;0,SUMIF(OFFSET($A$12,0,0,$C$15,1),A14,OFFSET($A$12,0,9,$C$15,1)),"")</f>
        <v/>
      </c>
      <c r="C14" s="9" t="str">
        <f ca="1">IF(A14&gt;0,RANK(B14,OFFSET(A$5,0,0,#REF!,2)),"")</f>
        <v/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9" x14ac:dyDescent="0.2">
      <c r="A15" t="s">
        <v>45</v>
      </c>
      <c r="C15" t="s">
        <v>20</v>
      </c>
    </row>
    <row r="16" spans="1:19" x14ac:dyDescent="0.2">
      <c r="A16" s="4" t="s">
        <v>44</v>
      </c>
      <c r="B16" s="5"/>
      <c r="C16" t="s">
        <v>6</v>
      </c>
    </row>
    <row r="18" spans="1:3" x14ac:dyDescent="0.2">
      <c r="A18" t="s">
        <v>159</v>
      </c>
      <c r="C18" t="s">
        <v>160</v>
      </c>
    </row>
  </sheetData>
  <sheetProtection selectLockedCells="1" selectUnlockedCells="1"/>
  <dataValidations disablePrompts="1"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5" t="s">
        <v>52</v>
      </c>
      <c r="B1" s="3"/>
      <c r="C1" s="3"/>
    </row>
    <row r="2" spans="1:19" ht="13.5" thickBot="1" x14ac:dyDescent="0.25">
      <c r="M2"/>
      <c r="P2"/>
    </row>
    <row r="3" spans="1:19" s="8" customFormat="1" ht="39" thickBot="1" x14ac:dyDescent="0.25">
      <c r="A3" s="43" t="s">
        <v>56</v>
      </c>
      <c r="B3" s="42" t="s">
        <v>63</v>
      </c>
      <c r="C3" s="42" t="s">
        <v>62</v>
      </c>
      <c r="D3" s="42" t="s">
        <v>48</v>
      </c>
      <c r="E3" s="68" t="s">
        <v>49</v>
      </c>
      <c r="M3" s="43" t="s">
        <v>56</v>
      </c>
      <c r="N3" s="42" t="s">
        <v>141</v>
      </c>
      <c r="O3" s="68" t="s">
        <v>142</v>
      </c>
      <c r="P3" s="68" t="s">
        <v>140</v>
      </c>
    </row>
    <row r="4" spans="1:19" x14ac:dyDescent="0.2">
      <c r="A4" t="s">
        <v>11</v>
      </c>
      <c r="B4" s="16"/>
      <c r="M4"/>
      <c r="N4" s="16"/>
      <c r="O4" s="16"/>
      <c r="P4"/>
      <c r="Q4"/>
      <c r="R4"/>
      <c r="S4"/>
    </row>
    <row r="5" spans="1:19" x14ac:dyDescent="0.2">
      <c r="A5" s="41" t="s">
        <v>10</v>
      </c>
      <c r="B5" s="40" t="s">
        <v>25</v>
      </c>
      <c r="C5" s="40" t="s">
        <v>16</v>
      </c>
      <c r="D5" s="40" t="s">
        <v>21</v>
      </c>
      <c r="E5" s="100" t="s">
        <v>22</v>
      </c>
      <c r="M5" s="41" t="s">
        <v>10</v>
      </c>
      <c r="N5" s="40" t="s">
        <v>134</v>
      </c>
      <c r="O5" s="40" t="s">
        <v>136</v>
      </c>
      <c r="P5" s="100" t="s">
        <v>135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9"/>
      <c r="B7" s="10"/>
      <c r="C7" s="9"/>
      <c r="D7" s="9"/>
      <c r="E7" s="9"/>
      <c r="M7" s="9"/>
      <c r="N7" s="10"/>
      <c r="O7" s="9"/>
      <c r="P7" s="9"/>
    </row>
    <row r="8" spans="1:19" x14ac:dyDescent="0.2">
      <c r="A8" s="3" t="s">
        <v>47</v>
      </c>
      <c r="B8" s="3"/>
      <c r="C8" s="3"/>
      <c r="Q8"/>
    </row>
    <row r="9" spans="1:19" ht="13.5" thickBot="1" x14ac:dyDescent="0.25"/>
    <row r="10" spans="1:19" ht="42" customHeight="1" thickBot="1" x14ac:dyDescent="0.25">
      <c r="A10" s="67" t="s">
        <v>56</v>
      </c>
      <c r="B10" s="6" t="s">
        <v>42</v>
      </c>
      <c r="C10" s="6" t="s">
        <v>41</v>
      </c>
      <c r="D10" s="6" t="s">
        <v>46</v>
      </c>
      <c r="E10" s="6" t="s">
        <v>55</v>
      </c>
      <c r="F10" s="6" t="s">
        <v>56</v>
      </c>
      <c r="G10" s="7" t="s">
        <v>60</v>
      </c>
      <c r="H10" s="7" t="s">
        <v>66</v>
      </c>
      <c r="I10" s="7" t="s">
        <v>67</v>
      </c>
      <c r="J10" s="7" t="s">
        <v>143</v>
      </c>
      <c r="K10" s="7" t="s">
        <v>109</v>
      </c>
      <c r="L10" s="7" t="s">
        <v>64</v>
      </c>
      <c r="M10" s="39" t="s">
        <v>65</v>
      </c>
      <c r="N10" s="68" t="s">
        <v>141</v>
      </c>
      <c r="O10" s="68" t="s">
        <v>142</v>
      </c>
      <c r="P10" s="68" t="s">
        <v>140</v>
      </c>
    </row>
    <row r="11" spans="1:19" x14ac:dyDescent="0.2">
      <c r="A11" t="s">
        <v>9</v>
      </c>
      <c r="M11"/>
      <c r="N11"/>
      <c r="O11"/>
      <c r="P11"/>
      <c r="Q11"/>
      <c r="R11"/>
      <c r="S11"/>
    </row>
    <row r="12" spans="1:19" x14ac:dyDescent="0.2">
      <c r="A12" s="14" t="s">
        <v>3</v>
      </c>
      <c r="B12" s="13" t="s">
        <v>1</v>
      </c>
      <c r="C12" s="13" t="s">
        <v>0</v>
      </c>
      <c r="D12" s="12" t="s">
        <v>8</v>
      </c>
      <c r="E12" s="22" t="s">
        <v>2</v>
      </c>
      <c r="F12" s="12" t="s">
        <v>7</v>
      </c>
      <c r="G12" s="11" t="s">
        <v>4</v>
      </c>
      <c r="H12" s="11" t="s">
        <v>154</v>
      </c>
      <c r="I12" s="11" t="s">
        <v>155</v>
      </c>
      <c r="J12" s="11" t="s">
        <v>156</v>
      </c>
      <c r="K12" s="11" t="s">
        <v>108</v>
      </c>
      <c r="L12" s="11" t="s">
        <v>53</v>
      </c>
      <c r="M12" s="66" t="s">
        <v>14</v>
      </c>
      <c r="N12" s="66" t="s">
        <v>137</v>
      </c>
      <c r="O12" s="66" t="s">
        <v>138</v>
      </c>
      <c r="P12" s="66" t="s">
        <v>139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9"/>
      <c r="B14" s="10" t="str">
        <f ca="1">IF(A14&gt;0,SUMIF(OFFSET($A$12,0,0,$C$15,1),A14,OFFSET($A$12,0,9,$C$15,1)),"")</f>
        <v/>
      </c>
      <c r="C14" s="9" t="str">
        <f ca="1">IF(A14&gt;0,RANK(B14,OFFSET(A$5,0,0,#REF!,2)),"")</f>
        <v/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9" x14ac:dyDescent="0.2">
      <c r="A15" t="s">
        <v>45</v>
      </c>
      <c r="C15" t="s">
        <v>40</v>
      </c>
    </row>
    <row r="16" spans="1:19" x14ac:dyDescent="0.2">
      <c r="A16" s="4" t="s">
        <v>44</v>
      </c>
      <c r="B16" s="5"/>
      <c r="C16" t="s">
        <v>6</v>
      </c>
    </row>
    <row r="17" spans="1:3" x14ac:dyDescent="0.2">
      <c r="A17" t="s">
        <v>157</v>
      </c>
      <c r="C17" t="s">
        <v>158</v>
      </c>
    </row>
    <row r="18" spans="1:3" x14ac:dyDescent="0.2">
      <c r="A18" t="s">
        <v>159</v>
      </c>
      <c r="C18" t="s">
        <v>160</v>
      </c>
    </row>
  </sheetData>
  <sheetProtection selectLockedCells="1" selectUnlockedCells="1"/>
  <dataValidations disablePrompts="1"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B1" sqref="B1:G1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111</v>
      </c>
      <c r="J1" s="1"/>
    </row>
    <row r="2" spans="1:24" s="69" customFormat="1" ht="15" x14ac:dyDescent="0.25">
      <c r="A2" s="69" t="s">
        <v>112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113</v>
      </c>
      <c r="B4" s="74"/>
      <c r="C4" s="75"/>
      <c r="D4" s="76" t="s">
        <v>114</v>
      </c>
      <c r="E4" s="77" t="s">
        <v>115</v>
      </c>
      <c r="F4" s="76" t="s">
        <v>54</v>
      </c>
      <c r="G4" s="78" t="s">
        <v>116</v>
      </c>
      <c r="H4" s="79"/>
      <c r="I4" s="76" t="s">
        <v>117</v>
      </c>
      <c r="J4" s="73" t="s">
        <v>118</v>
      </c>
      <c r="K4" s="80"/>
      <c r="L4" s="74"/>
      <c r="M4" s="75"/>
      <c r="N4" s="73" t="s">
        <v>56</v>
      </c>
      <c r="O4" s="74"/>
      <c r="P4" s="81"/>
      <c r="Q4" s="73" t="s">
        <v>57</v>
      </c>
      <c r="R4" s="74"/>
      <c r="S4" s="73" t="s">
        <v>119</v>
      </c>
      <c r="T4" s="80"/>
      <c r="U4" s="73" t="s">
        <v>120</v>
      </c>
      <c r="V4" s="81"/>
      <c r="X4" s="75"/>
    </row>
    <row r="5" spans="1:24" s="87" customFormat="1" ht="16.5" customHeight="1" x14ac:dyDescent="0.2">
      <c r="A5" s="83" t="s">
        <v>121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122</v>
      </c>
      <c r="B6" s="89"/>
      <c r="C6" s="90"/>
      <c r="D6" s="91" t="s">
        <v>123</v>
      </c>
      <c r="E6" s="92" t="s">
        <v>124</v>
      </c>
      <c r="F6" s="88" t="s">
        <v>125</v>
      </c>
      <c r="G6" s="92" t="s">
        <v>132</v>
      </c>
      <c r="H6" s="90"/>
      <c r="I6" s="94" t="s">
        <v>126</v>
      </c>
      <c r="J6" s="92" t="s">
        <v>133</v>
      </c>
      <c r="K6" s="89"/>
      <c r="L6" s="89"/>
      <c r="M6" s="90"/>
      <c r="N6" s="92" t="s">
        <v>127</v>
      </c>
      <c r="O6" s="89"/>
      <c r="P6" s="90"/>
      <c r="Q6" s="88" t="s">
        <v>128</v>
      </c>
      <c r="R6" s="89"/>
      <c r="S6" s="93" t="s">
        <v>129</v>
      </c>
      <c r="T6" s="89"/>
      <c r="U6" s="95" t="s">
        <v>130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131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InputMessage="1" showErrorMessage="1" sqref="H5" xr:uid="{00000000-0002-0000-0C00-000000000000}">
      <formula1>0</formula1>
      <formula2>200</formula2>
    </dataValidation>
    <dataValidation type="decimal" allowBlank="1" showErrorMessage="1" sqref="H1:H3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scale="60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B1" sqref="B1:G1"/>
    </sheetView>
  </sheetViews>
  <sheetFormatPr defaultRowHeight="12.75" x14ac:dyDescent="0.2"/>
  <sheetData>
    <row r="1" spans="1:2" x14ac:dyDescent="0.2">
      <c r="A1" t="s">
        <v>106</v>
      </c>
      <c r="B1" t="s">
        <v>107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MCT</vt:lpstr>
      <vt:lpstr>WCT</vt:lpstr>
      <vt:lpstr>MWCT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2025-06-24T20:08:01Z</dcterms:modified>
</cp:coreProperties>
</file>